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3_Dissemination/1_Publications/For_GitHub/annual/system_information/"/>
    </mc:Choice>
  </mc:AlternateContent>
  <xr:revisionPtr revIDLastSave="8" documentId="8_{5F33F330-3E55-4A4F-80E7-BF9D47D2BC65}" xr6:coauthVersionLast="47" xr6:coauthVersionMax="47" xr10:uidLastSave="{380C20FB-8A08-4CC5-94D9-4B9B9A3908A5}"/>
  <bookViews>
    <workbookView xWindow="-120" yWindow="-16320" windowWidth="29040" windowHeight="15720" xr2:uid="{64E4D872-64EA-486D-9D1B-4C6416133961}"/>
  </bookViews>
  <sheets>
    <sheet name="IKEA syst 3" sheetId="7" r:id="rId1"/>
    <sheet name="KP syst 8" sheetId="5" r:id="rId2"/>
    <sheet name="BOLD syst 9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18" i="5"/>
  <c r="B16" i="5"/>
  <c r="E11" i="5"/>
  <c r="E10" i="5"/>
  <c r="B18" i="4" l="1"/>
  <c r="B16" i="4"/>
</calcChain>
</file>

<file path=xl/sharedStrings.xml><?xml version="1.0" encoding="utf-8"?>
<sst xmlns="http://schemas.openxmlformats.org/spreadsheetml/2006/main" count="225" uniqueCount="77">
  <si>
    <t xml:space="preserve">Name </t>
  </si>
  <si>
    <t>Value</t>
  </si>
  <si>
    <t>Unit</t>
  </si>
  <si>
    <t>Description</t>
  </si>
  <si>
    <t>VdcMaxModule</t>
  </si>
  <si>
    <t>CellTech</t>
  </si>
  <si>
    <t>HWDsizes[1:3]</t>
  </si>
  <si>
    <t>massModule</t>
  </si>
  <si>
    <t>I_sc_ref</t>
  </si>
  <si>
    <t>V_oc_ref</t>
  </si>
  <si>
    <t>I_mp_ref</t>
  </si>
  <si>
    <t>V_mp_ref</t>
  </si>
  <si>
    <t>alpha_sc</t>
  </si>
  <si>
    <t>beta_oc</t>
  </si>
  <si>
    <t>subModRows</t>
  </si>
  <si>
    <t>subModCols</t>
  </si>
  <si>
    <t>subMCellRows</t>
  </si>
  <si>
    <t>subMCellCols</t>
  </si>
  <si>
    <t>a_ref</t>
  </si>
  <si>
    <t>I_I_ref</t>
  </si>
  <si>
    <t>I_o_ref</t>
  </si>
  <si>
    <t>R_s_ref</t>
  </si>
  <si>
    <t>R_sh_ref</t>
  </si>
  <si>
    <t>nPsubM_inRow</t>
  </si>
  <si>
    <t>nPsubM_inCol</t>
  </si>
  <si>
    <t>Transparency[1:2]</t>
  </si>
  <si>
    <t>HW_LightExp[1:2]</t>
  </si>
  <si>
    <t>HW_cell[1:2]</t>
  </si>
  <si>
    <t>ratioFullCellSq</t>
  </si>
  <si>
    <t>V</t>
  </si>
  <si>
    <t>m</t>
  </si>
  <si>
    <t>kg</t>
  </si>
  <si>
    <t>A</t>
  </si>
  <si>
    <t>nA</t>
  </si>
  <si>
    <t>Ohm</t>
  </si>
  <si>
    <t>%</t>
  </si>
  <si>
    <t>Maximum DC voltage of the PV system allowed for this panel</t>
  </si>
  <si>
    <t>PV cell technology</t>
  </si>
  <si>
    <t>Outer dimensions of PV module in order of height, width, and depth in portrait orientation</t>
  </si>
  <si>
    <t>Mass of Pv module</t>
  </si>
  <si>
    <t>Short-circuit current at STC reference conditions</t>
  </si>
  <si>
    <t>Open- circuit voltage at reference conditions</t>
  </si>
  <si>
    <t>Current at maximum power point at STC reference conditions</t>
  </si>
  <si>
    <t>Voltage at maximum power point at STC reference conditions</t>
  </si>
  <si>
    <t>Temperature coefficient for short-circuit current; I_sc temperature coefficient (data sheet)/100*I_sc_ref</t>
  </si>
  <si>
    <t>Temperature coefficient for open-circuit current; V_oc temperature coefficient (data sheet)/100*V_oc_ref</t>
  </si>
  <si>
    <t>Number of rows of submodules in one module</t>
  </si>
  <si>
    <t>Number of columns of submodules in one module</t>
  </si>
  <si>
    <t>Number of rows of cells in one submodule</t>
  </si>
  <si>
    <t>Number of columns of cells in one submodule</t>
  </si>
  <si>
    <t>Light current at STC reference conditions</t>
  </si>
  <si>
    <t>Diode reverse saturation current at STC reference conditions</t>
  </si>
  <si>
    <t>Series resistance at STC reference conditions</t>
  </si>
  <si>
    <t>Shunt resistance at STC reference conditions</t>
  </si>
  <si>
    <t>Number of submodules in parallel in a submodule row</t>
  </si>
  <si>
    <t>Number of submodules in parallel in a submodule column</t>
  </si>
  <si>
    <t>Transparency for cell covered area and inter-cell area</t>
  </si>
  <si>
    <t>Dimensions of light exposed area of the PV module in order of height and width in portrait orientation</t>
  </si>
  <si>
    <t>Dimensions of cells in order of height and width in the portait oriented module</t>
  </si>
  <si>
    <t>Ratio of the pseudo cell's area to the full square's area</t>
  </si>
  <si>
    <t>Diode ideality factor at STC reference conditions; (Ns/Np)*nVT</t>
  </si>
  <si>
    <t>{0.0 0.0}</t>
  </si>
  <si>
    <t>Mono-Si</t>
  </si>
  <si>
    <t>Diode reverse saturation current at STC reference conditions; Isat*10^9</t>
  </si>
  <si>
    <t>{0.156 0.156}</t>
  </si>
  <si>
    <t>CIGS</t>
  </si>
  <si>
    <t>Mass of PV module</t>
  </si>
  <si>
    <t>{1.685 1.0}</t>
  </si>
  <si>
    <t>{1.69 1.005 0.002}</t>
  </si>
  <si>
    <t>what if only 1 string? =&gt;</t>
  </si>
  <si>
    <t>{1.7 0.992 0.035}</t>
  </si>
  <si>
    <t>{1.63 0.922}</t>
  </si>
  <si>
    <t>6x11 cells</t>
  </si>
  <si>
    <t>{1.698 1.004 0.035}</t>
  </si>
  <si>
    <t>{1.675 0.981}</t>
  </si>
  <si>
    <t>{0.078 0.156}</t>
  </si>
  <si>
    <t>Mono-Si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</si>
</sst>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1</xdr:row>
      <xdr:rowOff>0</xdr:rowOff>
    </xdr:from>
    <xdr:to>
      <xdr:col>20</xdr:col>
      <xdr:colOff>514351</xdr:colOff>
      <xdr:row>30</xdr:row>
      <xdr:rowOff>66877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6BE859-6A23-16EF-CF88-32CD331E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1" y="190500"/>
          <a:ext cx="9658350" cy="751542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</xdr:row>
      <xdr:rowOff>0</xdr:rowOff>
    </xdr:from>
    <xdr:to>
      <xdr:col>17</xdr:col>
      <xdr:colOff>391507</xdr:colOff>
      <xdr:row>15</xdr:row>
      <xdr:rowOff>343348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4218A-E76D-16C7-1E89-23FDD8F8E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7100" y="1143000"/>
          <a:ext cx="7039957" cy="3210373"/>
        </a:xfrm>
        <a:prstGeom prst="rect">
          <a:avLst/>
        </a:prstGeom>
        <a:ln w="5715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4108485772">
                <a:custGeom>
                  <a:avLst/>
                  <a:gdLst>
                    <a:gd name="connsiteX0" fmla="*/ 0 w 7039957"/>
                    <a:gd name="connsiteY0" fmla="*/ 0 h 3210373"/>
                    <a:gd name="connsiteX1" fmla="*/ 375464 w 7039957"/>
                    <a:gd name="connsiteY1" fmla="*/ 0 h 3210373"/>
                    <a:gd name="connsiteX2" fmla="*/ 821328 w 7039957"/>
                    <a:gd name="connsiteY2" fmla="*/ 0 h 3210373"/>
                    <a:gd name="connsiteX3" fmla="*/ 1407991 w 7039957"/>
                    <a:gd name="connsiteY3" fmla="*/ 0 h 3210373"/>
                    <a:gd name="connsiteX4" fmla="*/ 1994654 w 7039957"/>
                    <a:gd name="connsiteY4" fmla="*/ 0 h 3210373"/>
                    <a:gd name="connsiteX5" fmla="*/ 2651717 w 7039957"/>
                    <a:gd name="connsiteY5" fmla="*/ 0 h 3210373"/>
                    <a:gd name="connsiteX6" fmla="*/ 3097581 w 7039957"/>
                    <a:gd name="connsiteY6" fmla="*/ 0 h 3210373"/>
                    <a:gd name="connsiteX7" fmla="*/ 3684244 w 7039957"/>
                    <a:gd name="connsiteY7" fmla="*/ 0 h 3210373"/>
                    <a:gd name="connsiteX8" fmla="*/ 4130108 w 7039957"/>
                    <a:gd name="connsiteY8" fmla="*/ 0 h 3210373"/>
                    <a:gd name="connsiteX9" fmla="*/ 4787171 w 7039957"/>
                    <a:gd name="connsiteY9" fmla="*/ 0 h 3210373"/>
                    <a:gd name="connsiteX10" fmla="*/ 5233035 w 7039957"/>
                    <a:gd name="connsiteY10" fmla="*/ 0 h 3210373"/>
                    <a:gd name="connsiteX11" fmla="*/ 5890097 w 7039957"/>
                    <a:gd name="connsiteY11" fmla="*/ 0 h 3210373"/>
                    <a:gd name="connsiteX12" fmla="*/ 6335961 w 7039957"/>
                    <a:gd name="connsiteY12" fmla="*/ 0 h 3210373"/>
                    <a:gd name="connsiteX13" fmla="*/ 7039957 w 7039957"/>
                    <a:gd name="connsiteY13" fmla="*/ 0 h 3210373"/>
                    <a:gd name="connsiteX14" fmla="*/ 7039957 w 7039957"/>
                    <a:gd name="connsiteY14" fmla="*/ 567166 h 3210373"/>
                    <a:gd name="connsiteX15" fmla="*/ 7039957 w 7039957"/>
                    <a:gd name="connsiteY15" fmla="*/ 1166436 h 3210373"/>
                    <a:gd name="connsiteX16" fmla="*/ 7039957 w 7039957"/>
                    <a:gd name="connsiteY16" fmla="*/ 1669394 h 3210373"/>
                    <a:gd name="connsiteX17" fmla="*/ 7039957 w 7039957"/>
                    <a:gd name="connsiteY17" fmla="*/ 2108145 h 3210373"/>
                    <a:gd name="connsiteX18" fmla="*/ 7039957 w 7039957"/>
                    <a:gd name="connsiteY18" fmla="*/ 2675311 h 3210373"/>
                    <a:gd name="connsiteX19" fmla="*/ 7039957 w 7039957"/>
                    <a:gd name="connsiteY19" fmla="*/ 3210373 h 3210373"/>
                    <a:gd name="connsiteX20" fmla="*/ 6664493 w 7039957"/>
                    <a:gd name="connsiteY20" fmla="*/ 3210373 h 3210373"/>
                    <a:gd name="connsiteX21" fmla="*/ 6218629 w 7039957"/>
                    <a:gd name="connsiteY21" fmla="*/ 3210373 h 3210373"/>
                    <a:gd name="connsiteX22" fmla="*/ 5561566 w 7039957"/>
                    <a:gd name="connsiteY22" fmla="*/ 3210373 h 3210373"/>
                    <a:gd name="connsiteX23" fmla="*/ 4834104 w 7039957"/>
                    <a:gd name="connsiteY23" fmla="*/ 3210373 h 3210373"/>
                    <a:gd name="connsiteX24" fmla="*/ 4106642 w 7039957"/>
                    <a:gd name="connsiteY24" fmla="*/ 3210373 h 3210373"/>
                    <a:gd name="connsiteX25" fmla="*/ 3519979 w 7039957"/>
                    <a:gd name="connsiteY25" fmla="*/ 3210373 h 3210373"/>
                    <a:gd name="connsiteX26" fmla="*/ 2862916 w 7039957"/>
                    <a:gd name="connsiteY26" fmla="*/ 3210373 h 3210373"/>
                    <a:gd name="connsiteX27" fmla="*/ 2135454 w 7039957"/>
                    <a:gd name="connsiteY27" fmla="*/ 3210373 h 3210373"/>
                    <a:gd name="connsiteX28" fmla="*/ 1619190 w 7039957"/>
                    <a:gd name="connsiteY28" fmla="*/ 3210373 h 3210373"/>
                    <a:gd name="connsiteX29" fmla="*/ 1173326 w 7039957"/>
                    <a:gd name="connsiteY29" fmla="*/ 3210373 h 3210373"/>
                    <a:gd name="connsiteX30" fmla="*/ 727462 w 7039957"/>
                    <a:gd name="connsiteY30" fmla="*/ 3210373 h 3210373"/>
                    <a:gd name="connsiteX31" fmla="*/ 0 w 7039957"/>
                    <a:gd name="connsiteY31" fmla="*/ 3210373 h 3210373"/>
                    <a:gd name="connsiteX32" fmla="*/ 0 w 7039957"/>
                    <a:gd name="connsiteY32" fmla="*/ 2739518 h 3210373"/>
                    <a:gd name="connsiteX33" fmla="*/ 0 w 7039957"/>
                    <a:gd name="connsiteY33" fmla="*/ 2300767 h 3210373"/>
                    <a:gd name="connsiteX34" fmla="*/ 0 w 7039957"/>
                    <a:gd name="connsiteY34" fmla="*/ 1701498 h 3210373"/>
                    <a:gd name="connsiteX35" fmla="*/ 0 w 7039957"/>
                    <a:gd name="connsiteY35" fmla="*/ 1102228 h 3210373"/>
                    <a:gd name="connsiteX36" fmla="*/ 0 w 7039957"/>
                    <a:gd name="connsiteY36" fmla="*/ 663477 h 3210373"/>
                    <a:gd name="connsiteX37" fmla="*/ 0 w 7039957"/>
                    <a:gd name="connsiteY37" fmla="*/ 0 h 3210373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  <a:cxn ang="0">
                      <a:pos x="connsiteX21" y="connsiteY21"/>
                    </a:cxn>
                    <a:cxn ang="0">
                      <a:pos x="connsiteX22" y="connsiteY22"/>
                    </a:cxn>
                    <a:cxn ang="0">
                      <a:pos x="connsiteX23" y="connsiteY23"/>
                    </a:cxn>
                    <a:cxn ang="0">
                      <a:pos x="connsiteX24" y="connsiteY24"/>
                    </a:cxn>
                    <a:cxn ang="0">
                      <a:pos x="connsiteX25" y="connsiteY25"/>
                    </a:cxn>
                    <a:cxn ang="0">
                      <a:pos x="connsiteX26" y="connsiteY26"/>
                    </a:cxn>
                    <a:cxn ang="0">
                      <a:pos x="connsiteX27" y="connsiteY27"/>
                    </a:cxn>
                    <a:cxn ang="0">
                      <a:pos x="connsiteX28" y="connsiteY28"/>
                    </a:cxn>
                    <a:cxn ang="0">
                      <a:pos x="connsiteX29" y="connsiteY29"/>
                    </a:cxn>
                    <a:cxn ang="0">
                      <a:pos x="connsiteX30" y="connsiteY30"/>
                    </a:cxn>
                    <a:cxn ang="0">
                      <a:pos x="connsiteX31" y="connsiteY31"/>
                    </a:cxn>
                    <a:cxn ang="0">
                      <a:pos x="connsiteX32" y="connsiteY32"/>
                    </a:cxn>
                    <a:cxn ang="0">
                      <a:pos x="connsiteX33" y="connsiteY33"/>
                    </a:cxn>
                    <a:cxn ang="0">
                      <a:pos x="connsiteX34" y="connsiteY34"/>
                    </a:cxn>
                    <a:cxn ang="0">
                      <a:pos x="connsiteX35" y="connsiteY35"/>
                    </a:cxn>
                    <a:cxn ang="0">
                      <a:pos x="connsiteX36" y="connsiteY36"/>
                    </a:cxn>
                    <a:cxn ang="0">
                      <a:pos x="connsiteX37" y="connsiteY37"/>
                    </a:cxn>
                  </a:cxnLst>
                  <a:rect l="l" t="t" r="r" b="b"/>
                  <a:pathLst>
                    <a:path w="7039957" h="3210373" fill="none" extrusionOk="0">
                      <a:moveTo>
                        <a:pt x="0" y="0"/>
                      </a:moveTo>
                      <a:cubicBezTo>
                        <a:pt x="127837" y="-11551"/>
                        <a:pt x="209047" y="23678"/>
                        <a:pt x="375464" y="0"/>
                      </a:cubicBezTo>
                      <a:cubicBezTo>
                        <a:pt x="541881" y="-23678"/>
                        <a:pt x="729591" y="35238"/>
                        <a:pt x="821328" y="0"/>
                      </a:cubicBezTo>
                      <a:cubicBezTo>
                        <a:pt x="913065" y="-35238"/>
                        <a:pt x="1259918" y="50035"/>
                        <a:pt x="1407991" y="0"/>
                      </a:cubicBezTo>
                      <a:cubicBezTo>
                        <a:pt x="1556064" y="-50035"/>
                        <a:pt x="1871510" y="4824"/>
                        <a:pt x="1994654" y="0"/>
                      </a:cubicBezTo>
                      <a:cubicBezTo>
                        <a:pt x="2117798" y="-4824"/>
                        <a:pt x="2351553" y="26611"/>
                        <a:pt x="2651717" y="0"/>
                      </a:cubicBezTo>
                      <a:cubicBezTo>
                        <a:pt x="2951881" y="-26611"/>
                        <a:pt x="2946710" y="8535"/>
                        <a:pt x="3097581" y="0"/>
                      </a:cubicBezTo>
                      <a:cubicBezTo>
                        <a:pt x="3248452" y="-8535"/>
                        <a:pt x="3516339" y="25764"/>
                        <a:pt x="3684244" y="0"/>
                      </a:cubicBezTo>
                      <a:cubicBezTo>
                        <a:pt x="3852149" y="-25764"/>
                        <a:pt x="3943678" y="21256"/>
                        <a:pt x="4130108" y="0"/>
                      </a:cubicBezTo>
                      <a:cubicBezTo>
                        <a:pt x="4316538" y="-21256"/>
                        <a:pt x="4581575" y="10227"/>
                        <a:pt x="4787171" y="0"/>
                      </a:cubicBezTo>
                      <a:cubicBezTo>
                        <a:pt x="4992767" y="-10227"/>
                        <a:pt x="5049923" y="20595"/>
                        <a:pt x="5233035" y="0"/>
                      </a:cubicBezTo>
                      <a:cubicBezTo>
                        <a:pt x="5416147" y="-20595"/>
                        <a:pt x="5723730" y="9862"/>
                        <a:pt x="5890097" y="0"/>
                      </a:cubicBezTo>
                      <a:cubicBezTo>
                        <a:pt x="6056464" y="-9862"/>
                        <a:pt x="6200218" y="4688"/>
                        <a:pt x="6335961" y="0"/>
                      </a:cubicBezTo>
                      <a:cubicBezTo>
                        <a:pt x="6471704" y="-4688"/>
                        <a:pt x="6888916" y="82397"/>
                        <a:pt x="7039957" y="0"/>
                      </a:cubicBezTo>
                      <a:cubicBezTo>
                        <a:pt x="7085762" y="144269"/>
                        <a:pt x="7013393" y="428597"/>
                        <a:pt x="7039957" y="567166"/>
                      </a:cubicBezTo>
                      <a:cubicBezTo>
                        <a:pt x="7066521" y="705735"/>
                        <a:pt x="6997693" y="904321"/>
                        <a:pt x="7039957" y="1166436"/>
                      </a:cubicBezTo>
                      <a:cubicBezTo>
                        <a:pt x="7082221" y="1428551"/>
                        <a:pt x="7032098" y="1434312"/>
                        <a:pt x="7039957" y="1669394"/>
                      </a:cubicBezTo>
                      <a:cubicBezTo>
                        <a:pt x="7047816" y="1904476"/>
                        <a:pt x="7025654" y="1947316"/>
                        <a:pt x="7039957" y="2108145"/>
                      </a:cubicBezTo>
                      <a:cubicBezTo>
                        <a:pt x="7054260" y="2268974"/>
                        <a:pt x="6992053" y="2439350"/>
                        <a:pt x="7039957" y="2675311"/>
                      </a:cubicBezTo>
                      <a:cubicBezTo>
                        <a:pt x="7087861" y="2911272"/>
                        <a:pt x="7003091" y="3035929"/>
                        <a:pt x="7039957" y="3210373"/>
                      </a:cubicBezTo>
                      <a:cubicBezTo>
                        <a:pt x="6863373" y="3229615"/>
                        <a:pt x="6822611" y="3180974"/>
                        <a:pt x="6664493" y="3210373"/>
                      </a:cubicBezTo>
                      <a:cubicBezTo>
                        <a:pt x="6506375" y="3239772"/>
                        <a:pt x="6374751" y="3164091"/>
                        <a:pt x="6218629" y="3210373"/>
                      </a:cubicBezTo>
                      <a:cubicBezTo>
                        <a:pt x="6062507" y="3256655"/>
                        <a:pt x="5871665" y="3205721"/>
                        <a:pt x="5561566" y="3210373"/>
                      </a:cubicBezTo>
                      <a:cubicBezTo>
                        <a:pt x="5251467" y="3215025"/>
                        <a:pt x="5009033" y="3173065"/>
                        <a:pt x="4834104" y="3210373"/>
                      </a:cubicBezTo>
                      <a:cubicBezTo>
                        <a:pt x="4659175" y="3247681"/>
                        <a:pt x="4305628" y="3139070"/>
                        <a:pt x="4106642" y="3210373"/>
                      </a:cubicBezTo>
                      <a:cubicBezTo>
                        <a:pt x="3907656" y="3281676"/>
                        <a:pt x="3648225" y="3170476"/>
                        <a:pt x="3519979" y="3210373"/>
                      </a:cubicBezTo>
                      <a:cubicBezTo>
                        <a:pt x="3391733" y="3250270"/>
                        <a:pt x="3113471" y="3192955"/>
                        <a:pt x="2862916" y="3210373"/>
                      </a:cubicBezTo>
                      <a:cubicBezTo>
                        <a:pt x="2612361" y="3227791"/>
                        <a:pt x="2288878" y="3129785"/>
                        <a:pt x="2135454" y="3210373"/>
                      </a:cubicBezTo>
                      <a:cubicBezTo>
                        <a:pt x="1982030" y="3290961"/>
                        <a:pt x="1841857" y="3176733"/>
                        <a:pt x="1619190" y="3210373"/>
                      </a:cubicBezTo>
                      <a:cubicBezTo>
                        <a:pt x="1396523" y="3244013"/>
                        <a:pt x="1284638" y="3173917"/>
                        <a:pt x="1173326" y="3210373"/>
                      </a:cubicBezTo>
                      <a:cubicBezTo>
                        <a:pt x="1062014" y="3246829"/>
                        <a:pt x="898093" y="3207178"/>
                        <a:pt x="727462" y="3210373"/>
                      </a:cubicBezTo>
                      <a:cubicBezTo>
                        <a:pt x="556831" y="3213568"/>
                        <a:pt x="156926" y="3142809"/>
                        <a:pt x="0" y="3210373"/>
                      </a:cubicBezTo>
                      <a:cubicBezTo>
                        <a:pt x="-55088" y="3070318"/>
                        <a:pt x="18473" y="2901636"/>
                        <a:pt x="0" y="2739518"/>
                      </a:cubicBezTo>
                      <a:cubicBezTo>
                        <a:pt x="-18473" y="2577400"/>
                        <a:pt x="16704" y="2465600"/>
                        <a:pt x="0" y="2300767"/>
                      </a:cubicBezTo>
                      <a:cubicBezTo>
                        <a:pt x="-16704" y="2135934"/>
                        <a:pt x="14641" y="1990808"/>
                        <a:pt x="0" y="1701498"/>
                      </a:cubicBezTo>
                      <a:cubicBezTo>
                        <a:pt x="-14641" y="1412188"/>
                        <a:pt x="26289" y="1330694"/>
                        <a:pt x="0" y="1102228"/>
                      </a:cubicBezTo>
                      <a:cubicBezTo>
                        <a:pt x="-26289" y="873762"/>
                        <a:pt x="6948" y="876521"/>
                        <a:pt x="0" y="663477"/>
                      </a:cubicBezTo>
                      <a:cubicBezTo>
                        <a:pt x="-6948" y="450433"/>
                        <a:pt x="14408" y="183388"/>
                        <a:pt x="0" y="0"/>
                      </a:cubicBezTo>
                      <a:close/>
                    </a:path>
                    <a:path w="7039957" h="3210373" stroke="0" extrusionOk="0">
                      <a:moveTo>
                        <a:pt x="0" y="0"/>
                      </a:moveTo>
                      <a:cubicBezTo>
                        <a:pt x="178684" y="-47145"/>
                        <a:pt x="329156" y="25665"/>
                        <a:pt x="516264" y="0"/>
                      </a:cubicBezTo>
                      <a:cubicBezTo>
                        <a:pt x="703372" y="-25665"/>
                        <a:pt x="808325" y="33164"/>
                        <a:pt x="1032527" y="0"/>
                      </a:cubicBezTo>
                      <a:cubicBezTo>
                        <a:pt x="1256729" y="-33164"/>
                        <a:pt x="1390228" y="28250"/>
                        <a:pt x="1689590" y="0"/>
                      </a:cubicBezTo>
                      <a:cubicBezTo>
                        <a:pt x="1988952" y="-28250"/>
                        <a:pt x="2117956" y="37650"/>
                        <a:pt x="2346652" y="0"/>
                      </a:cubicBezTo>
                      <a:cubicBezTo>
                        <a:pt x="2575348" y="-37650"/>
                        <a:pt x="2677084" y="41897"/>
                        <a:pt x="2862916" y="0"/>
                      </a:cubicBezTo>
                      <a:cubicBezTo>
                        <a:pt x="3048748" y="-41897"/>
                        <a:pt x="3109592" y="21128"/>
                        <a:pt x="3238380" y="0"/>
                      </a:cubicBezTo>
                      <a:cubicBezTo>
                        <a:pt x="3367168" y="-21128"/>
                        <a:pt x="3578621" y="22255"/>
                        <a:pt x="3895443" y="0"/>
                      </a:cubicBezTo>
                      <a:cubicBezTo>
                        <a:pt x="4212265" y="-22255"/>
                        <a:pt x="4147574" y="39007"/>
                        <a:pt x="4270907" y="0"/>
                      </a:cubicBezTo>
                      <a:cubicBezTo>
                        <a:pt x="4394240" y="-39007"/>
                        <a:pt x="4699895" y="27553"/>
                        <a:pt x="4857570" y="0"/>
                      </a:cubicBezTo>
                      <a:cubicBezTo>
                        <a:pt x="5015245" y="-27553"/>
                        <a:pt x="5279645" y="69865"/>
                        <a:pt x="5585033" y="0"/>
                      </a:cubicBezTo>
                      <a:cubicBezTo>
                        <a:pt x="5890421" y="-69865"/>
                        <a:pt x="6085654" y="77766"/>
                        <a:pt x="6242095" y="0"/>
                      </a:cubicBezTo>
                      <a:cubicBezTo>
                        <a:pt x="6398536" y="-77766"/>
                        <a:pt x="6703882" y="60239"/>
                        <a:pt x="7039957" y="0"/>
                      </a:cubicBezTo>
                      <a:cubicBezTo>
                        <a:pt x="7089300" y="210655"/>
                        <a:pt x="7001697" y="376153"/>
                        <a:pt x="7039957" y="502958"/>
                      </a:cubicBezTo>
                      <a:cubicBezTo>
                        <a:pt x="7078217" y="629763"/>
                        <a:pt x="7004356" y="880262"/>
                        <a:pt x="7039957" y="1038021"/>
                      </a:cubicBezTo>
                      <a:cubicBezTo>
                        <a:pt x="7075558" y="1195780"/>
                        <a:pt x="7021827" y="1352328"/>
                        <a:pt x="7039957" y="1637290"/>
                      </a:cubicBezTo>
                      <a:cubicBezTo>
                        <a:pt x="7058087" y="1922252"/>
                        <a:pt x="6990829" y="2016860"/>
                        <a:pt x="7039957" y="2236560"/>
                      </a:cubicBezTo>
                      <a:cubicBezTo>
                        <a:pt x="7089085" y="2456260"/>
                        <a:pt x="6947926" y="2772838"/>
                        <a:pt x="7039957" y="3210373"/>
                      </a:cubicBezTo>
                      <a:cubicBezTo>
                        <a:pt x="6854566" y="3210989"/>
                        <a:pt x="6611872" y="3157457"/>
                        <a:pt x="6312495" y="3210373"/>
                      </a:cubicBezTo>
                      <a:cubicBezTo>
                        <a:pt x="6013118" y="3263289"/>
                        <a:pt x="5828247" y="3134968"/>
                        <a:pt x="5585033" y="3210373"/>
                      </a:cubicBezTo>
                      <a:cubicBezTo>
                        <a:pt x="5341819" y="3285778"/>
                        <a:pt x="5339850" y="3186821"/>
                        <a:pt x="5139169" y="3210373"/>
                      </a:cubicBezTo>
                      <a:cubicBezTo>
                        <a:pt x="4938488" y="3233925"/>
                        <a:pt x="4776229" y="3154979"/>
                        <a:pt x="4622905" y="3210373"/>
                      </a:cubicBezTo>
                      <a:cubicBezTo>
                        <a:pt x="4469581" y="3265767"/>
                        <a:pt x="4403700" y="3195272"/>
                        <a:pt x="4247441" y="3210373"/>
                      </a:cubicBezTo>
                      <a:cubicBezTo>
                        <a:pt x="4091182" y="3225474"/>
                        <a:pt x="3934331" y="3190375"/>
                        <a:pt x="3731177" y="3210373"/>
                      </a:cubicBezTo>
                      <a:cubicBezTo>
                        <a:pt x="3528023" y="3230371"/>
                        <a:pt x="3199867" y="3160743"/>
                        <a:pt x="3003715" y="3210373"/>
                      </a:cubicBezTo>
                      <a:cubicBezTo>
                        <a:pt x="2807563" y="3260003"/>
                        <a:pt x="2764337" y="3204193"/>
                        <a:pt x="2557851" y="3210373"/>
                      </a:cubicBezTo>
                      <a:cubicBezTo>
                        <a:pt x="2351365" y="3216553"/>
                        <a:pt x="2082759" y="3141405"/>
                        <a:pt x="1900788" y="3210373"/>
                      </a:cubicBezTo>
                      <a:cubicBezTo>
                        <a:pt x="1718817" y="3279341"/>
                        <a:pt x="1464986" y="3143824"/>
                        <a:pt x="1173326" y="3210373"/>
                      </a:cubicBezTo>
                      <a:cubicBezTo>
                        <a:pt x="881666" y="3276922"/>
                        <a:pt x="794913" y="3206978"/>
                        <a:pt x="586663" y="3210373"/>
                      </a:cubicBezTo>
                      <a:cubicBezTo>
                        <a:pt x="378413" y="3213768"/>
                        <a:pt x="141471" y="3186637"/>
                        <a:pt x="0" y="3210373"/>
                      </a:cubicBezTo>
                      <a:cubicBezTo>
                        <a:pt x="-36294" y="2958082"/>
                        <a:pt x="35428" y="2872833"/>
                        <a:pt x="0" y="2611103"/>
                      </a:cubicBezTo>
                      <a:cubicBezTo>
                        <a:pt x="-35428" y="2349373"/>
                        <a:pt x="7495" y="2282770"/>
                        <a:pt x="0" y="2172352"/>
                      </a:cubicBezTo>
                      <a:cubicBezTo>
                        <a:pt x="-7495" y="2061934"/>
                        <a:pt x="59094" y="1802992"/>
                        <a:pt x="0" y="1605187"/>
                      </a:cubicBezTo>
                      <a:cubicBezTo>
                        <a:pt x="-59094" y="1407382"/>
                        <a:pt x="26778" y="1308866"/>
                        <a:pt x="0" y="1102228"/>
                      </a:cubicBezTo>
                      <a:cubicBezTo>
                        <a:pt x="-26778" y="895590"/>
                        <a:pt x="16074" y="835033"/>
                        <a:pt x="0" y="663477"/>
                      </a:cubicBezTo>
                      <a:cubicBezTo>
                        <a:pt x="-16074" y="491921"/>
                        <a:pt x="69716" y="199909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342901</xdr:colOff>
      <xdr:row>2</xdr:row>
      <xdr:rowOff>114299</xdr:rowOff>
    </xdr:from>
    <xdr:to>
      <xdr:col>23</xdr:col>
      <xdr:colOff>128339</xdr:colOff>
      <xdr:row>36</xdr:row>
      <xdr:rowOff>20344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1C342-6256-B2EB-A60A-EE85551A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1" y="685799"/>
          <a:ext cx="10758238" cy="811659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66675</xdr:rowOff>
    </xdr:from>
    <xdr:to>
      <xdr:col>16</xdr:col>
      <xdr:colOff>582013</xdr:colOff>
      <xdr:row>17</xdr:row>
      <xdr:rowOff>38549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2101E0-8D2E-FEFC-98AF-06E21119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0" y="1400175"/>
          <a:ext cx="7078063" cy="3219899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324970</xdr:colOff>
      <xdr:row>11</xdr:row>
      <xdr:rowOff>145676</xdr:rowOff>
    </xdr:from>
    <xdr:to>
      <xdr:col>13</xdr:col>
      <xdr:colOff>44823</xdr:colOff>
      <xdr:row>12</xdr:row>
      <xdr:rowOff>156882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C992753-E139-5601-D3E9-64EAA729BED8}"/>
            </a:ext>
          </a:extLst>
        </xdr:cNvPr>
        <xdr:cNvSpPr/>
      </xdr:nvSpPr>
      <xdr:spPr>
        <a:xfrm>
          <a:off x="9962029" y="3384176"/>
          <a:ext cx="1535206" cy="201706"/>
        </a:xfrm>
        <a:custGeom>
          <a:avLst/>
          <a:gdLst>
            <a:gd name="csX0" fmla="*/ 0 w 1535206"/>
            <a:gd name="csY0" fmla="*/ 0 h 201706"/>
            <a:gd name="csX1" fmla="*/ 465679 w 1535206"/>
            <a:gd name="csY1" fmla="*/ 0 h 201706"/>
            <a:gd name="csX2" fmla="*/ 1008119 w 1535206"/>
            <a:gd name="csY2" fmla="*/ 0 h 201706"/>
            <a:gd name="csX3" fmla="*/ 1535206 w 1535206"/>
            <a:gd name="csY3" fmla="*/ 0 h 201706"/>
            <a:gd name="csX4" fmla="*/ 1535206 w 1535206"/>
            <a:gd name="csY4" fmla="*/ 201706 h 201706"/>
            <a:gd name="csX5" fmla="*/ 992767 w 1535206"/>
            <a:gd name="csY5" fmla="*/ 201706 h 201706"/>
            <a:gd name="csX6" fmla="*/ 511735 w 1535206"/>
            <a:gd name="csY6" fmla="*/ 201706 h 201706"/>
            <a:gd name="csX7" fmla="*/ 0 w 1535206"/>
            <a:gd name="csY7" fmla="*/ 201706 h 201706"/>
            <a:gd name="csX8" fmla="*/ 0 w 1535206"/>
            <a:gd name="csY8" fmla="*/ 0 h 2017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535206" h="201706" extrusionOk="0">
              <a:moveTo>
                <a:pt x="0" y="0"/>
              </a:moveTo>
              <a:cubicBezTo>
                <a:pt x="136827" y="-11058"/>
                <a:pt x="345082" y="14607"/>
                <a:pt x="465679" y="0"/>
              </a:cubicBezTo>
              <a:cubicBezTo>
                <a:pt x="586276" y="-14607"/>
                <a:pt x="808884" y="15480"/>
                <a:pt x="1008119" y="0"/>
              </a:cubicBezTo>
              <a:cubicBezTo>
                <a:pt x="1207354" y="-15480"/>
                <a:pt x="1272269" y="56773"/>
                <a:pt x="1535206" y="0"/>
              </a:cubicBezTo>
              <a:cubicBezTo>
                <a:pt x="1540282" y="44406"/>
                <a:pt x="1515100" y="116567"/>
                <a:pt x="1535206" y="201706"/>
              </a:cubicBezTo>
              <a:cubicBezTo>
                <a:pt x="1276158" y="228155"/>
                <a:pt x="1158032" y="149353"/>
                <a:pt x="992767" y="201706"/>
              </a:cubicBezTo>
              <a:cubicBezTo>
                <a:pt x="827502" y="254059"/>
                <a:pt x="649049" y="179179"/>
                <a:pt x="511735" y="201706"/>
              </a:cubicBezTo>
              <a:cubicBezTo>
                <a:pt x="374421" y="224233"/>
                <a:pt x="210690" y="157672"/>
                <a:pt x="0" y="201706"/>
              </a:cubicBezTo>
              <a:cubicBezTo>
                <a:pt x="-13378" y="154277"/>
                <a:pt x="15609" y="98888"/>
                <a:pt x="0" y="0"/>
              </a:cubicBezTo>
              <a:close/>
            </a:path>
          </a:pathLst>
        </a:custGeom>
        <a:noFill/>
        <a:ln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185872582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E" sz="1100"/>
        </a:p>
      </xdr:txBody>
    </xdr:sp>
    <xdr:clientData/>
  </xdr:twoCellAnchor>
  <xdr:twoCellAnchor>
    <xdr:from>
      <xdr:col>5</xdr:col>
      <xdr:colOff>6910</xdr:colOff>
      <xdr:row>0</xdr:row>
      <xdr:rowOff>93133</xdr:rowOff>
    </xdr:from>
    <xdr:to>
      <xdr:col>22</xdr:col>
      <xdr:colOff>505821</xdr:colOff>
      <xdr:row>30</xdr:row>
      <xdr:rowOff>100977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EDF21933-1BA5-876C-7A33-BE380E5D4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7260" y="93133"/>
          <a:ext cx="10862111" cy="7646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257735</xdr:colOff>
      <xdr:row>8</xdr:row>
      <xdr:rowOff>145676</xdr:rowOff>
    </xdr:from>
    <xdr:to>
      <xdr:col>11</xdr:col>
      <xdr:colOff>145677</xdr:colOff>
      <xdr:row>9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3C51FAC-42B2-1807-3271-E2F2266F17C5}"/>
            </a:ext>
          </a:extLst>
        </xdr:cNvPr>
        <xdr:cNvSpPr/>
      </xdr:nvSpPr>
      <xdr:spPr>
        <a:xfrm>
          <a:off x="9894794" y="2241176"/>
          <a:ext cx="493059" cy="235324"/>
        </a:xfrm>
        <a:custGeom>
          <a:avLst/>
          <a:gdLst>
            <a:gd name="csX0" fmla="*/ 0 w 493059"/>
            <a:gd name="csY0" fmla="*/ 39221 h 235324"/>
            <a:gd name="csX1" fmla="*/ 39221 w 493059"/>
            <a:gd name="csY1" fmla="*/ 0 h 235324"/>
            <a:gd name="csX2" fmla="*/ 453838 w 493059"/>
            <a:gd name="csY2" fmla="*/ 0 h 235324"/>
            <a:gd name="csX3" fmla="*/ 493059 w 493059"/>
            <a:gd name="csY3" fmla="*/ 39221 h 235324"/>
            <a:gd name="csX4" fmla="*/ 493059 w 493059"/>
            <a:gd name="csY4" fmla="*/ 196103 h 235324"/>
            <a:gd name="csX5" fmla="*/ 453838 w 493059"/>
            <a:gd name="csY5" fmla="*/ 235324 h 235324"/>
            <a:gd name="csX6" fmla="*/ 39221 w 493059"/>
            <a:gd name="csY6" fmla="*/ 235324 h 235324"/>
            <a:gd name="csX7" fmla="*/ 0 w 493059"/>
            <a:gd name="csY7" fmla="*/ 196103 h 235324"/>
            <a:gd name="csX8" fmla="*/ 0 w 493059"/>
            <a:gd name="csY8" fmla="*/ 39221 h 2353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493059" h="235324" extrusionOk="0">
              <a:moveTo>
                <a:pt x="0" y="39221"/>
              </a:moveTo>
              <a:cubicBezTo>
                <a:pt x="-959" y="19243"/>
                <a:pt x="14275" y="-1357"/>
                <a:pt x="39221" y="0"/>
              </a:cubicBezTo>
              <a:cubicBezTo>
                <a:pt x="225942" y="31215"/>
                <a:pt x="288530" y="14756"/>
                <a:pt x="453838" y="0"/>
              </a:cubicBezTo>
              <a:cubicBezTo>
                <a:pt x="473009" y="832"/>
                <a:pt x="492618" y="18082"/>
                <a:pt x="493059" y="39221"/>
              </a:cubicBezTo>
              <a:cubicBezTo>
                <a:pt x="484929" y="95251"/>
                <a:pt x="493296" y="125559"/>
                <a:pt x="493059" y="196103"/>
              </a:cubicBezTo>
              <a:cubicBezTo>
                <a:pt x="493586" y="217263"/>
                <a:pt x="478175" y="235501"/>
                <a:pt x="453838" y="235324"/>
              </a:cubicBezTo>
              <a:cubicBezTo>
                <a:pt x="297965" y="244544"/>
                <a:pt x="118486" y="233261"/>
                <a:pt x="39221" y="235324"/>
              </a:cubicBezTo>
              <a:cubicBezTo>
                <a:pt x="19979" y="235675"/>
                <a:pt x="-1251" y="217193"/>
                <a:pt x="0" y="196103"/>
              </a:cubicBezTo>
              <a:cubicBezTo>
                <a:pt x="6602" y="156228"/>
                <a:pt x="2711" y="75145"/>
                <a:pt x="0" y="39221"/>
              </a:cubicBezTo>
              <a:close/>
            </a:path>
          </a:pathLst>
        </a:custGeom>
        <a:noFill/>
        <a:ln w="28575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981765707">
                <a:prstGeom prst="round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E" sz="1100"/>
        </a:p>
      </xdr:txBody>
    </xdr:sp>
    <xdr:clientData/>
  </xdr:twoCellAnchor>
  <xdr:twoCellAnchor editAs="oneCell">
    <xdr:from>
      <xdr:col>10</xdr:col>
      <xdr:colOff>219075</xdr:colOff>
      <xdr:row>1</xdr:row>
      <xdr:rowOff>190500</xdr:rowOff>
    </xdr:from>
    <xdr:to>
      <xdr:col>22</xdr:col>
      <xdr:colOff>541970</xdr:colOff>
      <xdr:row>24</xdr:row>
      <xdr:rowOff>27831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FD2E8-1479-F069-6DFE-9D3F7C5E9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7425" y="381000"/>
          <a:ext cx="7638095" cy="5952381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2B10-ADCC-4FED-905D-941BD9210871}">
  <dimension ref="A1:E26"/>
  <sheetViews>
    <sheetView tabSelected="1" workbookViewId="0">
      <selection activeCell="B33" sqref="B33"/>
    </sheetView>
  </sheetViews>
  <sheetFormatPr defaultRowHeight="14.4" x14ac:dyDescent="0.3"/>
  <cols>
    <col min="1" max="1" width="17.109375" customWidth="1"/>
    <col min="2" max="2" width="11.44140625" customWidth="1"/>
    <col min="3" max="3" width="7.109375" customWidth="1"/>
    <col min="4" max="4" width="54.3320312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>
        <v>1000</v>
      </c>
      <c r="C2" t="s">
        <v>29</v>
      </c>
      <c r="D2" s="1" t="s">
        <v>36</v>
      </c>
    </row>
    <row r="3" spans="1:4" x14ac:dyDescent="0.3">
      <c r="A3" t="s">
        <v>5</v>
      </c>
      <c r="B3" t="s">
        <v>76</v>
      </c>
      <c r="D3" s="1" t="s">
        <v>37</v>
      </c>
    </row>
    <row r="4" spans="1:4" ht="28.8" x14ac:dyDescent="0.3">
      <c r="A4" t="s">
        <v>6</v>
      </c>
      <c r="B4" t="s">
        <v>73</v>
      </c>
      <c r="C4" t="s">
        <v>30</v>
      </c>
      <c r="D4" s="1" t="s">
        <v>38</v>
      </c>
    </row>
    <row r="5" spans="1:4" x14ac:dyDescent="0.3">
      <c r="A5" t="s">
        <v>7</v>
      </c>
      <c r="B5">
        <v>18.7</v>
      </c>
      <c r="C5" t="s">
        <v>31</v>
      </c>
      <c r="D5" s="1" t="s">
        <v>39</v>
      </c>
    </row>
    <row r="6" spans="1:4" x14ac:dyDescent="0.3">
      <c r="A6" t="s">
        <v>8</v>
      </c>
      <c r="B6">
        <v>10.3</v>
      </c>
      <c r="C6" t="s">
        <v>32</v>
      </c>
      <c r="D6" s="1" t="s">
        <v>40</v>
      </c>
    </row>
    <row r="7" spans="1:4" x14ac:dyDescent="0.3">
      <c r="A7" t="s">
        <v>9</v>
      </c>
      <c r="B7">
        <v>40.4</v>
      </c>
      <c r="C7" t="s">
        <v>29</v>
      </c>
      <c r="D7" s="1" t="s">
        <v>41</v>
      </c>
    </row>
    <row r="8" spans="1:4" x14ac:dyDescent="0.3">
      <c r="A8" t="s">
        <v>10</v>
      </c>
      <c r="B8">
        <v>9.67</v>
      </c>
      <c r="C8" t="s">
        <v>32</v>
      </c>
      <c r="D8" s="1" t="s">
        <v>42</v>
      </c>
    </row>
    <row r="9" spans="1:4" x14ac:dyDescent="0.3">
      <c r="A9" t="s">
        <v>11</v>
      </c>
      <c r="B9">
        <v>33.6</v>
      </c>
      <c r="C9" t="s">
        <v>29</v>
      </c>
      <c r="D9" s="1" t="s">
        <v>43</v>
      </c>
    </row>
    <row r="10" spans="1:4" ht="28.8" x14ac:dyDescent="0.3">
      <c r="A10" t="s">
        <v>12</v>
      </c>
      <c r="B10">
        <f>5*10^-4</f>
        <v>5.0000000000000001E-4</v>
      </c>
      <c r="D10" s="1" t="s">
        <v>44</v>
      </c>
    </row>
    <row r="11" spans="1:4" ht="28.8" x14ac:dyDescent="0.3">
      <c r="A11" t="s">
        <v>13</v>
      </c>
      <c r="B11">
        <v>-2.5999999999999999E-3</v>
      </c>
      <c r="D11" s="1" t="s">
        <v>45</v>
      </c>
    </row>
    <row r="12" spans="1:4" x14ac:dyDescent="0.3">
      <c r="A12" t="s">
        <v>14</v>
      </c>
      <c r="B12">
        <v>2</v>
      </c>
      <c r="D12" s="1" t="s">
        <v>46</v>
      </c>
    </row>
    <row r="13" spans="1:4" x14ac:dyDescent="0.3">
      <c r="A13" t="s">
        <v>15</v>
      </c>
      <c r="B13">
        <v>3</v>
      </c>
      <c r="D13" s="1" t="s">
        <v>47</v>
      </c>
    </row>
    <row r="14" spans="1:4" x14ac:dyDescent="0.3">
      <c r="A14" t="s">
        <v>16</v>
      </c>
      <c r="B14">
        <v>10</v>
      </c>
      <c r="D14" s="1" t="s">
        <v>48</v>
      </c>
    </row>
    <row r="15" spans="1:4" ht="15" thickBot="1" x14ac:dyDescent="0.35">
      <c r="A15" t="s">
        <v>17</v>
      </c>
      <c r="B15">
        <v>2</v>
      </c>
      <c r="D15" s="1" t="s">
        <v>49</v>
      </c>
    </row>
    <row r="16" spans="1:4" x14ac:dyDescent="0.3">
      <c r="A16" s="10" t="s">
        <v>18</v>
      </c>
      <c r="B16" s="11">
        <v>1.26</v>
      </c>
      <c r="C16" s="11"/>
      <c r="D16" s="12" t="s">
        <v>60</v>
      </c>
    </row>
    <row r="17" spans="1:5" x14ac:dyDescent="0.3">
      <c r="A17" s="13" t="s">
        <v>19</v>
      </c>
      <c r="B17">
        <v>10.3</v>
      </c>
      <c r="C17" t="s">
        <v>32</v>
      </c>
      <c r="D17" s="14" t="s">
        <v>50</v>
      </c>
    </row>
    <row r="18" spans="1:5" x14ac:dyDescent="0.3">
      <c r="A18" s="13" t="s">
        <v>20</v>
      </c>
      <c r="B18">
        <v>0</v>
      </c>
      <c r="C18" t="s">
        <v>33</v>
      </c>
      <c r="D18" s="14" t="s">
        <v>51</v>
      </c>
    </row>
    <row r="19" spans="1:5" x14ac:dyDescent="0.3">
      <c r="A19" s="13" t="s">
        <v>21</v>
      </c>
      <c r="B19">
        <v>0.11</v>
      </c>
      <c r="C19" t="s">
        <v>34</v>
      </c>
      <c r="D19" s="14" t="s">
        <v>52</v>
      </c>
    </row>
    <row r="20" spans="1:5" ht="15" thickBot="1" x14ac:dyDescent="0.35">
      <c r="A20" s="15" t="s">
        <v>22</v>
      </c>
      <c r="B20" s="16">
        <v>1000000</v>
      </c>
      <c r="C20" s="16" t="s">
        <v>34</v>
      </c>
      <c r="D20" s="17" t="s">
        <v>53</v>
      </c>
    </row>
    <row r="21" spans="1:5" x14ac:dyDescent="0.3">
      <c r="A21" t="s">
        <v>23</v>
      </c>
      <c r="B21">
        <v>1</v>
      </c>
      <c r="D21" s="1" t="s">
        <v>54</v>
      </c>
    </row>
    <row r="22" spans="1:5" x14ac:dyDescent="0.3">
      <c r="A22" t="s">
        <v>24</v>
      </c>
      <c r="B22">
        <v>2</v>
      </c>
      <c r="D22" s="1" t="s">
        <v>55</v>
      </c>
    </row>
    <row r="23" spans="1:5" x14ac:dyDescent="0.3">
      <c r="A23" t="s">
        <v>25</v>
      </c>
      <c r="B23" t="s">
        <v>61</v>
      </c>
      <c r="C23" t="s">
        <v>35</v>
      </c>
      <c r="D23" s="1" t="s">
        <v>56</v>
      </c>
    </row>
    <row r="24" spans="1:5" ht="28.8" x14ac:dyDescent="0.3">
      <c r="A24" t="s">
        <v>26</v>
      </c>
      <c r="B24" t="s">
        <v>74</v>
      </c>
      <c r="C24" t="s">
        <v>30</v>
      </c>
      <c r="D24" s="1" t="s">
        <v>57</v>
      </c>
      <c r="E24" t="s">
        <v>72</v>
      </c>
    </row>
    <row r="25" spans="1:5" ht="28.8" x14ac:dyDescent="0.3">
      <c r="A25" t="s">
        <v>27</v>
      </c>
      <c r="B25" t="s">
        <v>75</v>
      </c>
      <c r="C25" t="s">
        <v>30</v>
      </c>
      <c r="D25" s="1" t="s">
        <v>58</v>
      </c>
    </row>
    <row r="26" spans="1:5" x14ac:dyDescent="0.3">
      <c r="A26" t="s">
        <v>28</v>
      </c>
      <c r="B26">
        <v>99</v>
      </c>
      <c r="C26" t="s">
        <v>35</v>
      </c>
      <c r="D26" s="1" t="s">
        <v>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8F3-E802-48EA-B885-942BC9BE3F5F}">
  <dimension ref="A1:E26"/>
  <sheetViews>
    <sheetView topLeftCell="A15" zoomScaleNormal="100" workbookViewId="0">
      <selection activeCell="B24" sqref="B24"/>
    </sheetView>
  </sheetViews>
  <sheetFormatPr defaultRowHeight="14.4" x14ac:dyDescent="0.3"/>
  <cols>
    <col min="1" max="1" width="17.109375" customWidth="1"/>
    <col min="2" max="2" width="11.44140625" customWidth="1"/>
    <col min="3" max="3" width="7.109375" customWidth="1"/>
    <col min="4" max="4" width="54.33203125" style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</row>
    <row r="2" spans="1:5" x14ac:dyDescent="0.3">
      <c r="A2" t="s">
        <v>4</v>
      </c>
      <c r="B2">
        <v>1500</v>
      </c>
      <c r="C2" t="s">
        <v>29</v>
      </c>
      <c r="D2" s="1" t="s">
        <v>36</v>
      </c>
    </row>
    <row r="3" spans="1:5" x14ac:dyDescent="0.3">
      <c r="A3" t="s">
        <v>5</v>
      </c>
      <c r="B3" t="s">
        <v>62</v>
      </c>
      <c r="D3" s="1" t="s">
        <v>37</v>
      </c>
    </row>
    <row r="4" spans="1:5" ht="28.8" x14ac:dyDescent="0.3">
      <c r="A4" t="s">
        <v>6</v>
      </c>
      <c r="B4" t="s">
        <v>70</v>
      </c>
      <c r="C4" t="s">
        <v>30</v>
      </c>
      <c r="D4" s="1" t="s">
        <v>38</v>
      </c>
    </row>
    <row r="5" spans="1:5" x14ac:dyDescent="0.3">
      <c r="A5" t="s">
        <v>7</v>
      </c>
      <c r="B5">
        <v>19.2</v>
      </c>
      <c r="C5" t="s">
        <v>31</v>
      </c>
      <c r="D5" s="1" t="s">
        <v>39</v>
      </c>
    </row>
    <row r="6" spans="1:5" x14ac:dyDescent="0.3">
      <c r="A6" t="s">
        <v>8</v>
      </c>
      <c r="B6">
        <v>9.41</v>
      </c>
      <c r="C6" t="s">
        <v>32</v>
      </c>
      <c r="D6" s="1" t="s">
        <v>40</v>
      </c>
    </row>
    <row r="7" spans="1:5" x14ac:dyDescent="0.3">
      <c r="A7" t="s">
        <v>9</v>
      </c>
      <c r="B7">
        <v>44</v>
      </c>
      <c r="C7" t="s">
        <v>29</v>
      </c>
      <c r="D7" s="1" t="s">
        <v>41</v>
      </c>
    </row>
    <row r="8" spans="1:5" x14ac:dyDescent="0.3">
      <c r="A8" t="s">
        <v>10</v>
      </c>
      <c r="B8">
        <v>8.85</v>
      </c>
      <c r="C8" t="s">
        <v>32</v>
      </c>
      <c r="D8" s="1" t="s">
        <v>42</v>
      </c>
    </row>
    <row r="9" spans="1:5" x14ac:dyDescent="0.3">
      <c r="A9" t="s">
        <v>11</v>
      </c>
      <c r="B9">
        <v>36.200000000000003</v>
      </c>
      <c r="C9" t="s">
        <v>29</v>
      </c>
      <c r="D9" s="1" t="s">
        <v>43</v>
      </c>
    </row>
    <row r="10" spans="1:5" ht="28.8" x14ac:dyDescent="0.3">
      <c r="A10" t="s">
        <v>12</v>
      </c>
      <c r="B10">
        <v>4.705E-3</v>
      </c>
      <c r="D10" s="1" t="s">
        <v>44</v>
      </c>
      <c r="E10">
        <f>0.05/100*B6</f>
        <v>4.705E-3</v>
      </c>
    </row>
    <row r="11" spans="1:5" ht="28.8" x14ac:dyDescent="0.3">
      <c r="A11" t="s">
        <v>13</v>
      </c>
      <c r="B11">
        <v>-0.12759999999999999</v>
      </c>
      <c r="D11" s="1" t="s">
        <v>45</v>
      </c>
      <c r="E11">
        <f>-0.29/100*B7</f>
        <v>-0.12759999999999999</v>
      </c>
    </row>
    <row r="12" spans="1:5" x14ac:dyDescent="0.3">
      <c r="A12" t="s">
        <v>14</v>
      </c>
      <c r="B12">
        <v>1</v>
      </c>
      <c r="D12" s="1" t="s">
        <v>46</v>
      </c>
    </row>
    <row r="13" spans="1:5" x14ac:dyDescent="0.3">
      <c r="A13" t="s">
        <v>15</v>
      </c>
      <c r="B13">
        <v>3</v>
      </c>
      <c r="D13" s="1" t="s">
        <v>47</v>
      </c>
    </row>
    <row r="14" spans="1:5" x14ac:dyDescent="0.3">
      <c r="A14" t="s">
        <v>16</v>
      </c>
      <c r="B14">
        <v>11</v>
      </c>
      <c r="D14" s="1" t="s">
        <v>48</v>
      </c>
    </row>
    <row r="15" spans="1:5" ht="15" thickBot="1" x14ac:dyDescent="0.35">
      <c r="A15" t="s">
        <v>17</v>
      </c>
      <c r="B15">
        <v>2</v>
      </c>
      <c r="D15" s="1" t="s">
        <v>49</v>
      </c>
    </row>
    <row r="16" spans="1:5" x14ac:dyDescent="0.3">
      <c r="A16" s="10" t="s">
        <v>18</v>
      </c>
      <c r="B16" s="11">
        <f>66/1*0.023924</f>
        <v>1.5789840000000002</v>
      </c>
      <c r="C16" s="11"/>
      <c r="D16" s="12" t="s">
        <v>60</v>
      </c>
    </row>
    <row r="17" spans="1:5" x14ac:dyDescent="0.3">
      <c r="A17" s="13" t="s">
        <v>19</v>
      </c>
      <c r="B17">
        <v>9.4474999999999998</v>
      </c>
      <c r="C17" t="s">
        <v>32</v>
      </c>
      <c r="D17" s="14" t="s">
        <v>50</v>
      </c>
    </row>
    <row r="18" spans="1:5" x14ac:dyDescent="0.3">
      <c r="A18" s="13" t="s">
        <v>20</v>
      </c>
      <c r="B18">
        <f>7.67539*10^-12*10^9</f>
        <v>7.6753899999999989E-3</v>
      </c>
      <c r="C18" t="s">
        <v>33</v>
      </c>
      <c r="D18" s="14" t="s">
        <v>51</v>
      </c>
    </row>
    <row r="19" spans="1:5" x14ac:dyDescent="0.3">
      <c r="A19" s="13" t="s">
        <v>21</v>
      </c>
      <c r="B19">
        <v>0.43</v>
      </c>
      <c r="C19" t="s">
        <v>34</v>
      </c>
      <c r="D19" s="14" t="s">
        <v>52</v>
      </c>
    </row>
    <row r="20" spans="1:5" ht="15" thickBot="1" x14ac:dyDescent="0.35">
      <c r="A20" s="15" t="s">
        <v>22</v>
      </c>
      <c r="B20" s="16">
        <v>374.56990000000002</v>
      </c>
      <c r="C20" s="16" t="s">
        <v>34</v>
      </c>
      <c r="D20" s="17" t="s">
        <v>53</v>
      </c>
    </row>
    <row r="21" spans="1:5" x14ac:dyDescent="0.3">
      <c r="A21" t="s">
        <v>23</v>
      </c>
      <c r="B21">
        <v>1</v>
      </c>
      <c r="D21" s="1" t="s">
        <v>54</v>
      </c>
    </row>
    <row r="22" spans="1:5" x14ac:dyDescent="0.3">
      <c r="A22" t="s">
        <v>24</v>
      </c>
      <c r="B22">
        <v>1</v>
      </c>
      <c r="D22" s="1" t="s">
        <v>55</v>
      </c>
    </row>
    <row r="23" spans="1:5" x14ac:dyDescent="0.3">
      <c r="A23" t="s">
        <v>25</v>
      </c>
      <c r="B23" t="s">
        <v>61</v>
      </c>
      <c r="C23" t="s">
        <v>35</v>
      </c>
      <c r="D23" s="1" t="s">
        <v>56</v>
      </c>
    </row>
    <row r="24" spans="1:5" ht="28.8" x14ac:dyDescent="0.3">
      <c r="A24" t="s">
        <v>26</v>
      </c>
      <c r="B24" t="s">
        <v>71</v>
      </c>
      <c r="C24" t="s">
        <v>30</v>
      </c>
      <c r="D24" s="1" t="s">
        <v>57</v>
      </c>
      <c r="E24" t="s">
        <v>72</v>
      </c>
    </row>
    <row r="25" spans="1:5" ht="28.8" x14ac:dyDescent="0.3">
      <c r="A25" t="s">
        <v>27</v>
      </c>
      <c r="B25" t="s">
        <v>64</v>
      </c>
      <c r="C25" t="s">
        <v>30</v>
      </c>
      <c r="D25" s="1" t="s">
        <v>58</v>
      </c>
    </row>
    <row r="26" spans="1:5" x14ac:dyDescent="0.3">
      <c r="A26" t="s">
        <v>28</v>
      </c>
      <c r="B26">
        <v>99</v>
      </c>
      <c r="C26" t="s">
        <v>35</v>
      </c>
      <c r="D26" s="1" t="s">
        <v>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AD8E-1621-4D45-8F58-6DE7CC1E82E2}">
  <dimension ref="A1:Q29"/>
  <sheetViews>
    <sheetView topLeftCell="A11" zoomScaleNormal="100" workbookViewId="0">
      <selection activeCell="G32" sqref="G32:J32"/>
    </sheetView>
  </sheetViews>
  <sheetFormatPr defaultRowHeight="14.4" x14ac:dyDescent="0.3"/>
  <cols>
    <col min="1" max="1" width="17.109375" customWidth="1"/>
    <col min="2" max="2" width="11.44140625" customWidth="1"/>
    <col min="3" max="3" width="7.109375" customWidth="1"/>
    <col min="4" max="4" width="54.3320312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>
        <v>1000</v>
      </c>
      <c r="C2" t="s">
        <v>29</v>
      </c>
      <c r="D2" s="1" t="s">
        <v>36</v>
      </c>
    </row>
    <row r="3" spans="1:4" x14ac:dyDescent="0.3">
      <c r="A3" t="s">
        <v>5</v>
      </c>
      <c r="B3" t="s">
        <v>65</v>
      </c>
      <c r="D3" s="1" t="s">
        <v>37</v>
      </c>
    </row>
    <row r="4" spans="1:4" ht="28.8" x14ac:dyDescent="0.3">
      <c r="A4" t="s">
        <v>6</v>
      </c>
      <c r="B4" s="1" t="s">
        <v>68</v>
      </c>
      <c r="C4" t="s">
        <v>30</v>
      </c>
      <c r="D4" s="1" t="s">
        <v>38</v>
      </c>
    </row>
    <row r="5" spans="1:4" x14ac:dyDescent="0.3">
      <c r="A5" t="s">
        <v>7</v>
      </c>
      <c r="B5">
        <v>5</v>
      </c>
      <c r="C5" t="s">
        <v>31</v>
      </c>
      <c r="D5" s="1" t="s">
        <v>66</v>
      </c>
    </row>
    <row r="6" spans="1:4" x14ac:dyDescent="0.3">
      <c r="A6" t="s">
        <v>8</v>
      </c>
      <c r="B6">
        <v>7.5</v>
      </c>
      <c r="C6" t="s">
        <v>32</v>
      </c>
      <c r="D6" s="1" t="s">
        <v>40</v>
      </c>
    </row>
    <row r="7" spans="1:4" x14ac:dyDescent="0.3">
      <c r="A7" t="s">
        <v>9</v>
      </c>
      <c r="B7">
        <v>37.9</v>
      </c>
      <c r="C7" t="s">
        <v>29</v>
      </c>
      <c r="D7" s="1" t="s">
        <v>41</v>
      </c>
    </row>
    <row r="8" spans="1:4" x14ac:dyDescent="0.3">
      <c r="A8" t="s">
        <v>10</v>
      </c>
      <c r="B8">
        <v>6.6</v>
      </c>
      <c r="C8" t="s">
        <v>32</v>
      </c>
      <c r="D8" s="1" t="s">
        <v>42</v>
      </c>
    </row>
    <row r="9" spans="1:4" x14ac:dyDescent="0.3">
      <c r="A9" t="s">
        <v>11</v>
      </c>
      <c r="B9">
        <v>31.2</v>
      </c>
      <c r="C9" t="s">
        <v>29</v>
      </c>
      <c r="D9" s="1" t="s">
        <v>43</v>
      </c>
    </row>
    <row r="10" spans="1:4" ht="28.8" x14ac:dyDescent="0.3">
      <c r="A10" t="s">
        <v>12</v>
      </c>
      <c r="B10">
        <v>9.9000000000000008E-3</v>
      </c>
      <c r="D10" s="1" t="s">
        <v>44</v>
      </c>
    </row>
    <row r="11" spans="1:4" ht="28.8" x14ac:dyDescent="0.3">
      <c r="A11" t="s">
        <v>13</v>
      </c>
      <c r="B11">
        <v>-0.32790000000000002</v>
      </c>
      <c r="D11" s="1" t="s">
        <v>45</v>
      </c>
    </row>
    <row r="12" spans="1:4" x14ac:dyDescent="0.3">
      <c r="A12" t="s">
        <v>14</v>
      </c>
      <c r="B12" s="18">
        <v>10</v>
      </c>
      <c r="D12" s="1" t="s">
        <v>46</v>
      </c>
    </row>
    <row r="13" spans="1:4" x14ac:dyDescent="0.3">
      <c r="A13" t="s">
        <v>15</v>
      </c>
      <c r="B13" s="18">
        <v>6</v>
      </c>
      <c r="D13" s="1" t="s">
        <v>47</v>
      </c>
    </row>
    <row r="14" spans="1:4" x14ac:dyDescent="0.3">
      <c r="A14" t="s">
        <v>16</v>
      </c>
      <c r="B14" s="18">
        <v>1</v>
      </c>
      <c r="D14" s="1" t="s">
        <v>48</v>
      </c>
    </row>
    <row r="15" spans="1:4" ht="15" thickBot="1" x14ac:dyDescent="0.35">
      <c r="A15" t="s">
        <v>17</v>
      </c>
      <c r="B15" s="18">
        <v>1</v>
      </c>
      <c r="D15" s="1" t="s">
        <v>49</v>
      </c>
    </row>
    <row r="16" spans="1:4" x14ac:dyDescent="0.3">
      <c r="A16" s="2" t="s">
        <v>18</v>
      </c>
      <c r="B16" s="3">
        <f>60*0.036174316</f>
        <v>2.1704589599999999</v>
      </c>
      <c r="C16" s="3"/>
      <c r="D16" s="4" t="s">
        <v>60</v>
      </c>
    </row>
    <row r="17" spans="1:17" x14ac:dyDescent="0.3">
      <c r="A17" s="5" t="s">
        <v>19</v>
      </c>
      <c r="B17">
        <v>7.6773382000000003</v>
      </c>
      <c r="C17" t="s">
        <v>32</v>
      </c>
      <c r="D17" s="6" t="s">
        <v>50</v>
      </c>
    </row>
    <row r="18" spans="1:17" ht="28.8" x14ac:dyDescent="0.3">
      <c r="A18" s="5" t="s">
        <v>20</v>
      </c>
      <c r="B18">
        <f>1.6859499*10^-7*10^9</f>
        <v>168.59499</v>
      </c>
      <c r="C18" t="s">
        <v>33</v>
      </c>
      <c r="D18" s="6" t="s">
        <v>63</v>
      </c>
    </row>
    <row r="19" spans="1:17" x14ac:dyDescent="0.3">
      <c r="A19" s="5" t="s">
        <v>21</v>
      </c>
      <c r="B19">
        <v>0.121650402</v>
      </c>
      <c r="C19" t="s">
        <v>34</v>
      </c>
      <c r="D19" s="6" t="s">
        <v>52</v>
      </c>
    </row>
    <row r="20" spans="1:17" ht="15" thickBot="1" x14ac:dyDescent="0.35">
      <c r="A20" s="7" t="s">
        <v>22</v>
      </c>
      <c r="B20" s="8">
        <v>66.004667999999995</v>
      </c>
      <c r="C20" s="8" t="s">
        <v>34</v>
      </c>
      <c r="D20" s="9" t="s">
        <v>53</v>
      </c>
    </row>
    <row r="21" spans="1:17" x14ac:dyDescent="0.3">
      <c r="A21" t="s">
        <v>23</v>
      </c>
      <c r="B21">
        <v>1</v>
      </c>
      <c r="D21" s="1" t="s">
        <v>54</v>
      </c>
    </row>
    <row r="22" spans="1:17" x14ac:dyDescent="0.3">
      <c r="A22" t="s">
        <v>24</v>
      </c>
      <c r="B22">
        <v>1</v>
      </c>
      <c r="D22" s="1" t="s">
        <v>55</v>
      </c>
    </row>
    <row r="23" spans="1:17" x14ac:dyDescent="0.3">
      <c r="A23" t="s">
        <v>25</v>
      </c>
      <c r="B23" t="s">
        <v>61</v>
      </c>
      <c r="C23" t="s">
        <v>35</v>
      </c>
      <c r="D23" s="1" t="s">
        <v>56</v>
      </c>
    </row>
    <row r="24" spans="1:17" ht="28.8" x14ac:dyDescent="0.3">
      <c r="A24" t="s">
        <v>26</v>
      </c>
      <c r="B24" t="s">
        <v>67</v>
      </c>
      <c r="C24" t="s">
        <v>30</v>
      </c>
      <c r="D24" s="1" t="s">
        <v>57</v>
      </c>
    </row>
    <row r="25" spans="1:17" ht="28.8" x14ac:dyDescent="0.3">
      <c r="A25" t="s">
        <v>27</v>
      </c>
      <c r="B25" t="s">
        <v>64</v>
      </c>
      <c r="C25" t="s">
        <v>30</v>
      </c>
      <c r="D25" s="1" t="s">
        <v>58</v>
      </c>
    </row>
    <row r="26" spans="1:17" x14ac:dyDescent="0.3">
      <c r="A26" t="s">
        <v>28</v>
      </c>
      <c r="B26">
        <v>99</v>
      </c>
      <c r="C26" t="s">
        <v>35</v>
      </c>
      <c r="D26" s="1" t="s">
        <v>59</v>
      </c>
    </row>
    <row r="29" spans="1:17" x14ac:dyDescent="0.3">
      <c r="Q29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IKEA syst 3</vt:lpstr>
      <vt:lpstr>KP syst 8</vt:lpstr>
      <vt:lpstr>BOLD syst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2022-11-08T08:58:03Z</dcterms:created>
  <dcterms:modified xsi:type="dcterms:W3CDTF">2026-09-29T12:48:56Z</dcterms:modified>
</cp:coreProperties>
</file>